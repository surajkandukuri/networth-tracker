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<sst xmlns="http://schemas.openxmlformats.org/spreadsheetml/2006/main" count="301" uniqueCount="77">
  <si>
    <t xml:space="preserve">For</t>
  </si>
  <si>
    <t xml:space="preserve">Category</t>
  </si>
  <si>
    <t xml:space="preserve">Type</t>
  </si>
  <si>
    <t xml:space="preserve">Symbol</t>
  </si>
  <si>
    <t xml:space="preserve">Quantity</t>
  </si>
  <si>
    <t xml:space="preserve">Current Value as of 1/6/2026</t>
  </si>
  <si>
    <t xml:space="preserve">Weekly Investment in Dollars</t>
  </si>
  <si>
    <t xml:space="preserve">Parents</t>
  </si>
  <si>
    <t xml:space="preserve">NoMoreFunding</t>
  </si>
  <si>
    <t xml:space="preserve">Rollover 401k</t>
  </si>
  <si>
    <t xml:space="preserve">BRKB</t>
  </si>
  <si>
    <t xml:space="preserve">$5323.69</t>
  </si>
  <si>
    <t xml:space="preserve">VGT</t>
  </si>
  <si>
    <t xml:space="preserve">$4687.67</t>
  </si>
  <si>
    <t xml:space="preserve">VOO</t>
  </si>
  <si>
    <t xml:space="preserve">$9686.75</t>
  </si>
  <si>
    <t xml:space="preserve">VTI</t>
  </si>
  <si>
    <t xml:space="preserve">$25035.53</t>
  </si>
  <si>
    <t xml:space="preserve">VXUS</t>
  </si>
  <si>
    <t xml:space="preserve">$4651.90</t>
  </si>
  <si>
    <t xml:space="preserve">VYM</t>
  </si>
  <si>
    <t xml:space="preserve">$1274.75</t>
  </si>
  <si>
    <t xml:space="preserve">ROTH IRA</t>
  </si>
  <si>
    <t xml:space="preserve">$8080.51</t>
  </si>
  <si>
    <t xml:space="preserve">AMZN</t>
  </si>
  <si>
    <t xml:space="preserve">$5230.09</t>
  </si>
  <si>
    <t xml:space="preserve">VUG</t>
  </si>
  <si>
    <t xml:space="preserve">$1565.48</t>
  </si>
  <si>
    <t xml:space="preserve">$899.62</t>
  </si>
  <si>
    <t xml:space="preserve">VIG</t>
  </si>
  <si>
    <t xml:space="preserve">$846.66</t>
  </si>
  <si>
    <t xml:space="preserve">NVDA</t>
  </si>
  <si>
    <t xml:space="preserve">$968.44</t>
  </si>
  <si>
    <t xml:space="preserve">AAPL</t>
  </si>
  <si>
    <t xml:space="preserve">$530.77</t>
  </si>
  <si>
    <t xml:space="preserve">JNJ</t>
  </si>
  <si>
    <t xml:space="preserve">$612.93</t>
  </si>
  <si>
    <t xml:space="preserve">$112.09</t>
  </si>
  <si>
    <t xml:space="preserve">Rollover IRA</t>
  </si>
  <si>
    <t xml:space="preserve">$17739.29</t>
  </si>
  <si>
    <t xml:space="preserve">$4974.11</t>
  </si>
  <si>
    <t xml:space="preserve">$3911.20</t>
  </si>
  <si>
    <t xml:space="preserve">$3846.17</t>
  </si>
  <si>
    <t xml:space="preserve">$3256.33</t>
  </si>
  <si>
    <t xml:space="preserve">$0.14</t>
  </si>
  <si>
    <t xml:space="preserve">REPAIRIFY, INC.</t>
  </si>
  <si>
    <t xml:space="preserve">HNACX</t>
  </si>
  <si>
    <t xml:space="preserve">$1666.26</t>
  </si>
  <si>
    <t xml:space="preserve">FFIKX</t>
  </si>
  <si>
    <t xml:space="preserve">$861.20</t>
  </si>
  <si>
    <t xml:space="preserve">MVCKX</t>
  </si>
  <si>
    <t xml:space="preserve">$555.57</t>
  </si>
  <si>
    <t xml:space="preserve">FSMDX</t>
  </si>
  <si>
    <t xml:space="preserve">$576.34</t>
  </si>
  <si>
    <t xml:space="preserve">FXNAX</t>
  </si>
  <si>
    <t xml:space="preserve">$381.42</t>
  </si>
  <si>
    <t xml:space="preserve">Active</t>
  </si>
  <si>
    <t xml:space="preserve">M1 Finance-Vacation Planning</t>
  </si>
  <si>
    <t xml:space="preserve">VHT</t>
  </si>
  <si>
    <t xml:space="preserve">BRK.B</t>
  </si>
  <si>
    <t xml:space="preserve">M1 Finance-Weekly DCA</t>
  </si>
  <si>
    <t xml:space="preserve">SPY</t>
  </si>
  <si>
    <t xml:space="preserve">Adrika</t>
  </si>
  <si>
    <t xml:space="preserve">M1 Finance-Adrika 2025 Onwards</t>
  </si>
  <si>
    <t xml:space="preserve">VTV</t>
  </si>
  <si>
    <t xml:space="preserve">M1 Finance-Adrika Before 2025</t>
  </si>
  <si>
    <t xml:space="preserve">MGK</t>
  </si>
  <si>
    <t xml:space="preserve">VCR</t>
  </si>
  <si>
    <t xml:space="preserve">VOT</t>
  </si>
  <si>
    <t xml:space="preserve">VBK</t>
  </si>
  <si>
    <t xml:space="preserve">MGV</t>
  </si>
  <si>
    <t xml:space="preserve">VOE</t>
  </si>
  <si>
    <t xml:space="preserve">Sweetie</t>
  </si>
  <si>
    <t xml:space="preserve">M1 Finance-Sweetie Before 2025</t>
  </si>
  <si>
    <t xml:space="preserve">Sweetie </t>
  </si>
  <si>
    <t xml:space="preserve">M1 Finance-Sweetie 2025 Onwards</t>
  </si>
  <si>
    <t xml:space="preserve">SOLV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</si>
</sst>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General"/>
    <numFmt numFmtId="166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F2" activeCellId="0" sqref="F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3.15"/>
    <col collapsed="false" customWidth="true" hidden="false" outlineLevel="0" max="2" min="2" style="0" width="22.23"/>
    <col collapsed="false" customWidth="true" hidden="false" outlineLevel="0" max="3" min="3" style="0" width="30.56"/>
    <col collapsed="false" customWidth="true" hidden="false" outlineLevel="0" max="4" min="4" style="0" width="8.04"/>
    <col collapsed="false" customWidth="true" hidden="false" outlineLevel="0" max="5" min="5" style="0" width="8.78"/>
    <col collapsed="false" customWidth="true" hidden="false" outlineLevel="0" max="6" min="6" style="0" width="25.73"/>
    <col collapsed="false" customWidth="true" hidden="false" outlineLevel="0" max="7" min="7" style="0" width="26.7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n">
        <v>10.679</v>
      </c>
      <c r="F2" s="1" t="s">
        <v>11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12</v>
      </c>
      <c r="E3" s="0" t="n">
        <v>6.189</v>
      </c>
      <c r="F3" s="1" t="s">
        <v>13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s">
        <v>9</v>
      </c>
      <c r="D4" s="0" t="s">
        <v>14</v>
      </c>
      <c r="E4" s="0" t="n">
        <v>15.316</v>
      </c>
      <c r="F4" s="1" t="s">
        <v>15</v>
      </c>
    </row>
    <row r="5" customFormat="false" ht="12.8" hidden="false" customHeight="false" outlineLevel="0" collapsed="false">
      <c r="A5" s="0" t="s">
        <v>7</v>
      </c>
      <c r="B5" s="0" t="s">
        <v>8</v>
      </c>
      <c r="C5" s="0" t="s">
        <v>9</v>
      </c>
      <c r="D5" s="0" t="s">
        <v>16</v>
      </c>
      <c r="E5" s="0" t="n">
        <v>73.886</v>
      </c>
      <c r="F5" s="1" t="s">
        <v>17</v>
      </c>
    </row>
    <row r="6" customFormat="false" ht="12.8" hidden="false" customHeight="false" outlineLevel="0" collapsed="false">
      <c r="A6" s="0" t="s">
        <v>7</v>
      </c>
      <c r="B6" s="0" t="s">
        <v>8</v>
      </c>
      <c r="C6" s="0" t="s">
        <v>9</v>
      </c>
      <c r="D6" s="0" t="s">
        <v>18</v>
      </c>
      <c r="E6" s="0" t="n">
        <v>60.141</v>
      </c>
      <c r="F6" s="1" t="s">
        <v>19</v>
      </c>
    </row>
    <row r="7" customFormat="false" ht="12.8" hidden="false" customHeight="false" outlineLevel="0" collapsed="false">
      <c r="A7" s="0" t="s">
        <v>7</v>
      </c>
      <c r="B7" s="0" t="s">
        <v>8</v>
      </c>
      <c r="C7" s="0" t="s">
        <v>9</v>
      </c>
      <c r="D7" s="0" t="s">
        <v>20</v>
      </c>
      <c r="E7" s="0" t="n">
        <v>8.742</v>
      </c>
      <c r="F7" s="1" t="s">
        <v>21</v>
      </c>
    </row>
    <row r="8" customFormat="false" ht="12.8" hidden="false" customHeight="false" outlineLevel="0" collapsed="false">
      <c r="A8" s="0" t="s">
        <v>7</v>
      </c>
      <c r="B8" s="0" t="s">
        <v>8</v>
      </c>
      <c r="C8" s="0" t="s">
        <v>22</v>
      </c>
      <c r="D8" s="0" t="s">
        <v>10</v>
      </c>
      <c r="E8" s="0" t="n">
        <v>16.209</v>
      </c>
      <c r="F8" s="2" t="s">
        <v>23</v>
      </c>
    </row>
    <row r="9" customFormat="false" ht="12.8" hidden="false" customHeight="false" outlineLevel="0" collapsed="false">
      <c r="A9" s="0" t="s">
        <v>7</v>
      </c>
      <c r="B9" s="0" t="s">
        <v>8</v>
      </c>
      <c r="C9" s="0" t="s">
        <v>22</v>
      </c>
      <c r="D9" s="0" t="s">
        <v>24</v>
      </c>
      <c r="E9" s="0" t="n">
        <v>22.441</v>
      </c>
      <c r="F9" s="2" t="s">
        <v>25</v>
      </c>
    </row>
    <row r="10" customFormat="false" ht="12.8" hidden="false" customHeight="false" outlineLevel="0" collapsed="false">
      <c r="A10" s="0" t="s">
        <v>7</v>
      </c>
      <c r="B10" s="0" t="s">
        <v>8</v>
      </c>
      <c r="C10" s="0" t="s">
        <v>22</v>
      </c>
      <c r="D10" s="0" t="s">
        <v>26</v>
      </c>
      <c r="E10" s="0" t="n">
        <v>3.205</v>
      </c>
      <c r="F10" s="2" t="s">
        <v>27</v>
      </c>
    </row>
    <row r="11" customFormat="false" ht="12.8" hidden="false" customHeight="false" outlineLevel="0" collapsed="false">
      <c r="A11" s="0" t="s">
        <v>7</v>
      </c>
      <c r="B11" s="0" t="s">
        <v>8</v>
      </c>
      <c r="C11" s="0" t="s">
        <v>22</v>
      </c>
      <c r="D11" s="0" t="s">
        <v>16</v>
      </c>
      <c r="E11" s="0" t="n">
        <v>2.655</v>
      </c>
      <c r="F11" s="2" t="s">
        <v>28</v>
      </c>
    </row>
    <row r="12" customFormat="false" ht="12.8" hidden="false" customHeight="false" outlineLevel="0" collapsed="false">
      <c r="A12" s="0" t="s">
        <v>7</v>
      </c>
      <c r="B12" s="0" t="s">
        <v>8</v>
      </c>
      <c r="C12" s="0" t="s">
        <v>22</v>
      </c>
      <c r="D12" s="0" t="s">
        <v>29</v>
      </c>
      <c r="E12" s="0" t="n">
        <v>3.815</v>
      </c>
      <c r="F12" s="2" t="s">
        <v>30</v>
      </c>
    </row>
    <row r="13" customFormat="false" ht="12.8" hidden="false" customHeight="false" outlineLevel="0" collapsed="false">
      <c r="A13" s="0" t="s">
        <v>7</v>
      </c>
      <c r="B13" s="0" t="s">
        <v>8</v>
      </c>
      <c r="C13" s="0" t="s">
        <v>22</v>
      </c>
      <c r="D13" s="0" t="s">
        <v>31</v>
      </c>
      <c r="E13" s="0" t="n">
        <v>5.148</v>
      </c>
      <c r="F13" s="2" t="s">
        <v>32</v>
      </c>
    </row>
    <row r="14" customFormat="false" ht="12.8" hidden="false" customHeight="false" outlineLevel="0" collapsed="false">
      <c r="A14" s="0" t="s">
        <v>7</v>
      </c>
      <c r="B14" s="0" t="s">
        <v>8</v>
      </c>
      <c r="C14" s="0" t="s">
        <v>22</v>
      </c>
      <c r="D14" s="0" t="s">
        <v>33</v>
      </c>
      <c r="E14" s="0" t="n">
        <v>1.986</v>
      </c>
      <c r="F14" s="2" t="s">
        <v>34</v>
      </c>
    </row>
    <row r="15" customFormat="false" ht="12.8" hidden="false" customHeight="false" outlineLevel="0" collapsed="false">
      <c r="A15" s="0" t="s">
        <v>7</v>
      </c>
      <c r="B15" s="0" t="s">
        <v>8</v>
      </c>
      <c r="C15" s="0" t="s">
        <v>22</v>
      </c>
      <c r="D15" s="0" t="s">
        <v>35</v>
      </c>
      <c r="E15" s="0" t="n">
        <v>3</v>
      </c>
      <c r="F15" s="2" t="s">
        <v>36</v>
      </c>
    </row>
    <row r="16" customFormat="false" ht="12.8" hidden="false" customHeight="false" outlineLevel="0" collapsed="false">
      <c r="A16" s="0" t="s">
        <v>7</v>
      </c>
      <c r="B16" s="0" t="s">
        <v>8</v>
      </c>
      <c r="C16" s="0" t="s">
        <v>22</v>
      </c>
      <c r="D16" s="0" t="s">
        <v>12</v>
      </c>
      <c r="E16" s="0" t="n">
        <v>0.148</v>
      </c>
      <c r="F16" s="2" t="s">
        <v>37</v>
      </c>
    </row>
    <row r="17" customFormat="false" ht="12.8" hidden="false" customHeight="false" outlineLevel="0" collapsed="false">
      <c r="A17" s="0" t="s">
        <v>7</v>
      </c>
      <c r="B17" s="0" t="s">
        <v>8</v>
      </c>
      <c r="C17" s="0" t="s">
        <v>38</v>
      </c>
      <c r="D17" s="0" t="s">
        <v>16</v>
      </c>
      <c r="E17" s="0" t="n">
        <v>52.353</v>
      </c>
      <c r="F17" s="2" t="s">
        <v>39</v>
      </c>
    </row>
    <row r="18" customFormat="false" ht="12.8" hidden="false" customHeight="false" outlineLevel="0" collapsed="false">
      <c r="A18" s="0" t="s">
        <v>7</v>
      </c>
      <c r="B18" s="0" t="s">
        <v>8</v>
      </c>
      <c r="C18" s="0" t="s">
        <v>38</v>
      </c>
      <c r="D18" s="0" t="s">
        <v>29</v>
      </c>
      <c r="E18" s="0" t="n">
        <v>22.413</v>
      </c>
      <c r="F18" s="2" t="s">
        <v>40</v>
      </c>
    </row>
    <row r="19" customFormat="false" ht="12.8" hidden="false" customHeight="false" outlineLevel="0" collapsed="false">
      <c r="A19" s="0" t="s">
        <v>7</v>
      </c>
      <c r="B19" s="0" t="s">
        <v>8</v>
      </c>
      <c r="C19" s="0" t="s">
        <v>38</v>
      </c>
      <c r="D19" s="0" t="s">
        <v>18</v>
      </c>
      <c r="E19" s="0" t="n">
        <v>50.565</v>
      </c>
      <c r="F19" s="2" t="s">
        <v>41</v>
      </c>
    </row>
    <row r="20" customFormat="false" ht="12.8" hidden="false" customHeight="false" outlineLevel="0" collapsed="false">
      <c r="A20" s="0" t="s">
        <v>7</v>
      </c>
      <c r="B20" s="0" t="s">
        <v>8</v>
      </c>
      <c r="C20" s="0" t="s">
        <v>38</v>
      </c>
      <c r="D20" s="0" t="s">
        <v>12</v>
      </c>
      <c r="E20" s="0" t="n">
        <v>5.078</v>
      </c>
      <c r="F20" s="2" t="s">
        <v>42</v>
      </c>
    </row>
    <row r="21" customFormat="false" ht="12.8" hidden="false" customHeight="false" outlineLevel="0" collapsed="false">
      <c r="A21" s="0" t="s">
        <v>7</v>
      </c>
      <c r="B21" s="0" t="s">
        <v>8</v>
      </c>
      <c r="C21" s="0" t="s">
        <v>38</v>
      </c>
      <c r="D21" s="0" t="s">
        <v>10</v>
      </c>
      <c r="E21" s="0" t="n">
        <v>6.532</v>
      </c>
      <c r="F21" s="2" t="s">
        <v>43</v>
      </c>
    </row>
    <row r="22" customFormat="false" ht="12.8" hidden="false" customHeight="false" outlineLevel="0" collapsed="false">
      <c r="A22" s="0" t="s">
        <v>7</v>
      </c>
      <c r="B22" s="0" t="s">
        <v>8</v>
      </c>
      <c r="C22" s="0" t="s">
        <v>38</v>
      </c>
      <c r="D22" s="0" t="s">
        <v>20</v>
      </c>
      <c r="E22" s="0" t="n">
        <v>0.001</v>
      </c>
      <c r="F22" s="2" t="s">
        <v>44</v>
      </c>
    </row>
    <row r="23" customFormat="false" ht="12.8" hidden="false" customHeight="false" outlineLevel="0" collapsed="false">
      <c r="A23" s="0" t="s">
        <v>7</v>
      </c>
      <c r="B23" s="0" t="s">
        <v>8</v>
      </c>
      <c r="C23" s="0" t="s">
        <v>45</v>
      </c>
      <c r="D23" s="0" t="s">
        <v>46</v>
      </c>
      <c r="E23" s="0" t="n">
        <v>14.244</v>
      </c>
      <c r="F23" s="2" t="s">
        <v>47</v>
      </c>
    </row>
    <row r="24" customFormat="false" ht="12.8" hidden="false" customHeight="false" outlineLevel="0" collapsed="false">
      <c r="A24" s="0" t="s">
        <v>7</v>
      </c>
      <c r="B24" s="0" t="s">
        <v>8</v>
      </c>
      <c r="C24" s="0" t="s">
        <v>45</v>
      </c>
      <c r="D24" s="0" t="s">
        <v>48</v>
      </c>
      <c r="E24" s="0" t="n">
        <v>49.043</v>
      </c>
      <c r="F24" s="2" t="s">
        <v>49</v>
      </c>
    </row>
    <row r="25" customFormat="false" ht="12.8" hidden="false" customHeight="false" outlineLevel="0" collapsed="false">
      <c r="A25" s="0" t="s">
        <v>7</v>
      </c>
      <c r="B25" s="0" t="s">
        <v>8</v>
      </c>
      <c r="C25" s="0" t="s">
        <v>45</v>
      </c>
      <c r="D25" s="0" t="s">
        <v>50</v>
      </c>
      <c r="E25" s="0" t="n">
        <v>17.427</v>
      </c>
      <c r="F25" s="2" t="s">
        <v>51</v>
      </c>
    </row>
    <row r="26" customFormat="false" ht="12.8" hidden="false" customHeight="false" outlineLevel="0" collapsed="false">
      <c r="A26" s="0" t="s">
        <v>7</v>
      </c>
      <c r="B26" s="0" t="s">
        <v>8</v>
      </c>
      <c r="C26" s="0" t="s">
        <v>45</v>
      </c>
      <c r="D26" s="0" t="s">
        <v>52</v>
      </c>
      <c r="E26" s="0" t="n">
        <v>15.435</v>
      </c>
      <c r="F26" s="2" t="s">
        <v>53</v>
      </c>
    </row>
    <row r="27" customFormat="false" ht="12.8" hidden="false" customHeight="false" outlineLevel="0" collapsed="false">
      <c r="A27" s="0" t="s">
        <v>7</v>
      </c>
      <c r="B27" s="0" t="s">
        <v>8</v>
      </c>
      <c r="C27" s="0" t="s">
        <v>45</v>
      </c>
      <c r="D27" s="0" t="s">
        <v>54</v>
      </c>
      <c r="E27" s="0" t="n">
        <v>36.154</v>
      </c>
      <c r="F27" s="2" t="s">
        <v>55</v>
      </c>
    </row>
    <row r="28" customFormat="false" ht="12.8" hidden="false" customHeight="false" outlineLevel="0" collapsed="false">
      <c r="A28" s="0" t="s">
        <v>7</v>
      </c>
      <c r="B28" s="0" t="s">
        <v>56</v>
      </c>
      <c r="C28" s="0" t="s">
        <v>57</v>
      </c>
      <c r="D28" s="0" t="s">
        <v>29</v>
      </c>
      <c r="E28" s="0" t="n">
        <v>2.91904</v>
      </c>
      <c r="F28" s="0" t="n">
        <v>647.82</v>
      </c>
      <c r="G28" s="0" t="n">
        <f aca="false">96/4</f>
        <v>24</v>
      </c>
    </row>
    <row r="29" customFormat="false" ht="12.8" hidden="false" customHeight="false" outlineLevel="0" collapsed="false">
      <c r="A29" s="0" t="s">
        <v>7</v>
      </c>
      <c r="B29" s="0" t="s">
        <v>56</v>
      </c>
      <c r="C29" s="0" t="s">
        <v>57</v>
      </c>
      <c r="D29" s="0" t="s">
        <v>12</v>
      </c>
      <c r="E29" s="0" t="n">
        <v>0.85108</v>
      </c>
      <c r="F29" s="0" t="n">
        <v>644.63</v>
      </c>
      <c r="G29" s="0" t="n">
        <f aca="false">96/4</f>
        <v>24</v>
      </c>
    </row>
    <row r="30" customFormat="false" ht="12.8" hidden="false" customHeight="false" outlineLevel="0" collapsed="false">
      <c r="A30" s="0" t="s">
        <v>7</v>
      </c>
      <c r="B30" s="0" t="s">
        <v>56</v>
      </c>
      <c r="C30" s="0" t="s">
        <v>57</v>
      </c>
      <c r="D30" s="0" t="s">
        <v>58</v>
      </c>
      <c r="E30" s="0" t="n">
        <v>2.23009</v>
      </c>
      <c r="F30" s="0" t="n">
        <v>642.98</v>
      </c>
      <c r="G30" s="0" t="n">
        <f aca="false">96/4</f>
        <v>24</v>
      </c>
    </row>
    <row r="31" customFormat="false" ht="12.8" hidden="false" customHeight="false" outlineLevel="0" collapsed="false">
      <c r="A31" s="0" t="s">
        <v>7</v>
      </c>
      <c r="B31" s="0" t="s">
        <v>56</v>
      </c>
      <c r="C31" s="0" t="s">
        <v>57</v>
      </c>
      <c r="D31" s="0" t="s">
        <v>59</v>
      </c>
      <c r="E31" s="0" t="n">
        <v>1.2741</v>
      </c>
      <c r="F31" s="0" t="n">
        <v>635.16</v>
      </c>
      <c r="G31" s="0" t="n">
        <f aca="false">96/4</f>
        <v>24</v>
      </c>
    </row>
    <row r="32" customFormat="false" ht="12.8" hidden="false" customHeight="false" outlineLevel="0" collapsed="false">
      <c r="A32" s="0" t="s">
        <v>7</v>
      </c>
      <c r="B32" s="0" t="s">
        <v>56</v>
      </c>
      <c r="C32" s="0" t="s">
        <v>60</v>
      </c>
      <c r="D32" s="0" t="s">
        <v>26</v>
      </c>
      <c r="E32" s="0" t="n">
        <v>32.57514</v>
      </c>
      <c r="F32" s="0" t="n">
        <v>15911.33</v>
      </c>
      <c r="G32" s="0" t="n">
        <v>20</v>
      </c>
    </row>
    <row r="33" customFormat="false" ht="12.8" hidden="false" customHeight="false" outlineLevel="0" collapsed="false">
      <c r="A33" s="0" t="s">
        <v>7</v>
      </c>
      <c r="B33" s="0" t="s">
        <v>56</v>
      </c>
      <c r="C33" s="0" t="s">
        <v>60</v>
      </c>
      <c r="D33" s="0" t="s">
        <v>29</v>
      </c>
      <c r="E33" s="0" t="n">
        <v>70.58937</v>
      </c>
      <c r="F33" s="0" t="n">
        <v>15665.9</v>
      </c>
      <c r="G33" s="0" t="n">
        <v>20</v>
      </c>
    </row>
    <row r="34" customFormat="false" ht="12.8" hidden="false" customHeight="false" outlineLevel="0" collapsed="false">
      <c r="A34" s="0" t="s">
        <v>7</v>
      </c>
      <c r="B34" s="0" t="s">
        <v>56</v>
      </c>
      <c r="C34" s="0" t="s">
        <v>60</v>
      </c>
      <c r="D34" s="0" t="s">
        <v>16</v>
      </c>
      <c r="E34" s="0" t="n">
        <v>46.17945</v>
      </c>
      <c r="F34" s="0" t="n">
        <v>15647.44</v>
      </c>
      <c r="G34" s="0" t="n">
        <v>20</v>
      </c>
    </row>
    <row r="35" customFormat="false" ht="12.8" hidden="false" customHeight="false" outlineLevel="0" collapsed="false">
      <c r="A35" s="0" t="s">
        <v>7</v>
      </c>
      <c r="B35" s="0" t="s">
        <v>56</v>
      </c>
      <c r="C35" s="0" t="s">
        <v>60</v>
      </c>
      <c r="D35" s="0" t="s">
        <v>61</v>
      </c>
      <c r="E35" s="0" t="n">
        <v>22.72279</v>
      </c>
      <c r="F35" s="0" t="n">
        <v>15626.92</v>
      </c>
      <c r="G35" s="0" t="n">
        <v>20</v>
      </c>
    </row>
    <row r="36" customFormat="false" ht="12.8" hidden="false" customHeight="false" outlineLevel="0" collapsed="false">
      <c r="A36" s="0" t="s">
        <v>7</v>
      </c>
      <c r="B36" s="0" t="s">
        <v>56</v>
      </c>
      <c r="C36" s="0" t="s">
        <v>60</v>
      </c>
      <c r="D36" s="0" t="s">
        <v>12</v>
      </c>
      <c r="E36" s="0" t="n">
        <v>11.16572</v>
      </c>
      <c r="F36" s="0" t="n">
        <v>8457.14</v>
      </c>
      <c r="G36" s="0" t="n">
        <v>10</v>
      </c>
    </row>
    <row r="37" customFormat="false" ht="12.8" hidden="false" customHeight="false" outlineLevel="0" collapsed="false">
      <c r="A37" s="0" t="s">
        <v>7</v>
      </c>
      <c r="B37" s="0" t="s">
        <v>56</v>
      </c>
      <c r="C37" s="0" t="s">
        <v>60</v>
      </c>
      <c r="D37" s="0" t="s">
        <v>59</v>
      </c>
      <c r="E37" s="0" t="n">
        <v>15.83972</v>
      </c>
      <c r="F37" s="0" t="n">
        <v>7896.42</v>
      </c>
      <c r="G37" s="0" t="n">
        <v>10</v>
      </c>
    </row>
    <row r="38" customFormat="false" ht="12.8" hidden="false" customHeight="false" outlineLevel="0" collapsed="false">
      <c r="A38" s="0" t="s">
        <v>62</v>
      </c>
      <c r="B38" s="0" t="s">
        <v>56</v>
      </c>
      <c r="C38" s="0" t="s">
        <v>63</v>
      </c>
      <c r="D38" s="0" t="s">
        <v>64</v>
      </c>
      <c r="E38" s="0" t="n">
        <v>7.57766</v>
      </c>
      <c r="F38" s="0" t="n">
        <v>1474.99</v>
      </c>
      <c r="G38" s="0" t="n">
        <f aca="false">125*0.25</f>
        <v>31.25</v>
      </c>
    </row>
    <row r="39" customFormat="false" ht="12.8" hidden="false" customHeight="false" outlineLevel="0" collapsed="false">
      <c r="A39" s="0" t="s">
        <v>62</v>
      </c>
      <c r="B39" s="0" t="s">
        <v>56</v>
      </c>
      <c r="C39" s="0" t="s">
        <v>63</v>
      </c>
      <c r="D39" s="0" t="s">
        <v>16</v>
      </c>
      <c r="E39" s="0" t="n">
        <v>4.3089</v>
      </c>
      <c r="F39" s="0" t="n">
        <v>1460.03</v>
      </c>
      <c r="G39" s="0" t="n">
        <f aca="false">125*0.25</f>
        <v>31.25</v>
      </c>
    </row>
    <row r="40" customFormat="false" ht="12.8" hidden="false" customHeight="false" outlineLevel="0" collapsed="false">
      <c r="A40" s="0" t="s">
        <v>62</v>
      </c>
      <c r="B40" s="0" t="s">
        <v>56</v>
      </c>
      <c r="C40" s="0" t="s">
        <v>63</v>
      </c>
      <c r="D40" s="0" t="s">
        <v>59</v>
      </c>
      <c r="E40" s="0" t="n">
        <v>2.9274</v>
      </c>
      <c r="F40" s="0" t="n">
        <v>1459.37</v>
      </c>
      <c r="G40" s="0" t="n">
        <f aca="false">125*0.25</f>
        <v>31.25</v>
      </c>
    </row>
    <row r="41" customFormat="false" ht="12.8" hidden="false" customHeight="false" outlineLevel="0" collapsed="false">
      <c r="A41" s="0" t="s">
        <v>62</v>
      </c>
      <c r="B41" s="0" t="s">
        <v>56</v>
      </c>
      <c r="C41" s="0" t="s">
        <v>63</v>
      </c>
      <c r="D41" s="0" t="s">
        <v>12</v>
      </c>
      <c r="E41" s="0" t="n">
        <v>1.89713</v>
      </c>
      <c r="F41" s="0" t="n">
        <v>1436.92</v>
      </c>
      <c r="G41" s="0" t="n">
        <f aca="false">125*0.25</f>
        <v>31.25</v>
      </c>
    </row>
    <row r="42" customFormat="false" ht="12.8" hidden="false" customHeight="false" outlineLevel="0" collapsed="false">
      <c r="A42" s="0" t="s">
        <v>62</v>
      </c>
      <c r="B42" s="0" t="s">
        <v>56</v>
      </c>
      <c r="C42" s="0" t="s">
        <v>63</v>
      </c>
      <c r="D42" s="0" t="s">
        <v>26</v>
      </c>
      <c r="E42" s="0" t="n">
        <v>2.93923</v>
      </c>
      <c r="F42" s="0" t="n">
        <v>1435.67</v>
      </c>
      <c r="G42" s="0" t="n">
        <f aca="false">125*0.25</f>
        <v>31.25</v>
      </c>
    </row>
    <row r="43" customFormat="false" ht="12.8" hidden="false" customHeight="false" outlineLevel="0" collapsed="false">
      <c r="A43" s="0" t="s">
        <v>62</v>
      </c>
      <c r="B43" s="0" t="s">
        <v>8</v>
      </c>
      <c r="C43" s="0" t="s">
        <v>65</v>
      </c>
      <c r="D43" s="0" t="s">
        <v>66</v>
      </c>
      <c r="E43" s="0" t="n">
        <v>7.92531</v>
      </c>
      <c r="F43" s="0" t="n">
        <v>3266.81</v>
      </c>
    </row>
    <row r="44" customFormat="false" ht="12.8" hidden="false" customHeight="false" outlineLevel="0" collapsed="false">
      <c r="A44" s="0" t="s">
        <v>62</v>
      </c>
      <c r="B44" s="0" t="s">
        <v>8</v>
      </c>
      <c r="C44" s="0" t="s">
        <v>65</v>
      </c>
      <c r="D44" s="0" t="s">
        <v>12</v>
      </c>
      <c r="E44" s="0" t="n">
        <v>4.27233</v>
      </c>
      <c r="F44" s="0" t="n">
        <v>3235.95</v>
      </c>
    </row>
    <row r="45" customFormat="false" ht="12.8" hidden="false" customHeight="false" outlineLevel="0" collapsed="false">
      <c r="A45" s="0" t="s">
        <v>62</v>
      </c>
      <c r="B45" s="0" t="s">
        <v>8</v>
      </c>
      <c r="C45" s="0" t="s">
        <v>65</v>
      </c>
      <c r="D45" s="0" t="s">
        <v>16</v>
      </c>
      <c r="E45" s="0" t="n">
        <v>9.25045</v>
      </c>
      <c r="F45" s="0" t="n">
        <v>3134.42</v>
      </c>
    </row>
    <row r="46" customFormat="false" ht="12.8" hidden="false" customHeight="false" outlineLevel="0" collapsed="false">
      <c r="A46" s="0" t="s">
        <v>62</v>
      </c>
      <c r="B46" s="0" t="s">
        <v>8</v>
      </c>
      <c r="C46" s="0" t="s">
        <v>65</v>
      </c>
      <c r="D46" s="0" t="s">
        <v>67</v>
      </c>
      <c r="E46" s="0" t="n">
        <v>7.60896</v>
      </c>
      <c r="F46" s="0" t="n">
        <v>3033.54</v>
      </c>
    </row>
    <row r="47" customFormat="false" ht="12.8" hidden="false" customHeight="false" outlineLevel="0" collapsed="false">
      <c r="A47" s="0" t="s">
        <v>62</v>
      </c>
      <c r="B47" s="0" t="s">
        <v>8</v>
      </c>
      <c r="C47" s="0" t="s">
        <v>65</v>
      </c>
      <c r="D47" s="0" t="s">
        <v>68</v>
      </c>
      <c r="E47" s="0" t="n">
        <v>10.4035</v>
      </c>
      <c r="F47" s="0" t="n">
        <v>2961.98</v>
      </c>
    </row>
    <row r="48" customFormat="false" ht="12.8" hidden="false" customHeight="false" outlineLevel="0" collapsed="false">
      <c r="A48" s="0" t="s">
        <v>62</v>
      </c>
      <c r="B48" s="0" t="s">
        <v>8</v>
      </c>
      <c r="C48" s="0" t="s">
        <v>65</v>
      </c>
      <c r="D48" s="0" t="s">
        <v>59</v>
      </c>
      <c r="E48" s="0" t="n">
        <v>5.82816</v>
      </c>
      <c r="F48" s="0" t="n">
        <v>2905.45</v>
      </c>
    </row>
    <row r="49" customFormat="false" ht="12.8" hidden="false" customHeight="false" outlineLevel="0" collapsed="false">
      <c r="A49" s="0" t="s">
        <v>62</v>
      </c>
      <c r="B49" s="0" t="s">
        <v>8</v>
      </c>
      <c r="C49" s="0" t="s">
        <v>65</v>
      </c>
      <c r="D49" s="0" t="s">
        <v>69</v>
      </c>
      <c r="E49" s="0" t="n">
        <v>9.32344</v>
      </c>
      <c r="F49" s="0" t="n">
        <v>2904.62</v>
      </c>
    </row>
    <row r="50" customFormat="false" ht="12.8" hidden="false" customHeight="false" outlineLevel="0" collapsed="false">
      <c r="A50" s="0" t="s">
        <v>62</v>
      </c>
      <c r="B50" s="0" t="s">
        <v>8</v>
      </c>
      <c r="C50" s="0" t="s">
        <v>65</v>
      </c>
      <c r="D50" s="0" t="s">
        <v>70</v>
      </c>
      <c r="E50" s="0" t="n">
        <v>19.99731</v>
      </c>
      <c r="F50" s="0" t="n">
        <v>2877.81</v>
      </c>
    </row>
    <row r="51" customFormat="false" ht="12.8" hidden="false" customHeight="false" outlineLevel="0" collapsed="false">
      <c r="A51" s="0" t="s">
        <v>62</v>
      </c>
      <c r="B51" s="0" t="s">
        <v>8</v>
      </c>
      <c r="C51" s="0" t="s">
        <v>65</v>
      </c>
      <c r="D51" s="0" t="s">
        <v>71</v>
      </c>
      <c r="E51" s="0" t="n">
        <v>15.56784</v>
      </c>
      <c r="F51" s="0" t="n">
        <v>2816.53</v>
      </c>
    </row>
    <row r="52" customFormat="false" ht="12.8" hidden="false" customHeight="false" outlineLevel="0" collapsed="false">
      <c r="A52" s="0" t="s">
        <v>62</v>
      </c>
      <c r="B52" s="0" t="s">
        <v>8</v>
      </c>
      <c r="C52" s="0" t="s">
        <v>65</v>
      </c>
      <c r="D52" s="0" t="s">
        <v>58</v>
      </c>
      <c r="E52" s="0" t="n">
        <v>9.70859</v>
      </c>
      <c r="F52" s="0" t="n">
        <v>2799.18</v>
      </c>
    </row>
    <row r="53" customFormat="false" ht="12.8" hidden="false" customHeight="false" outlineLevel="0" collapsed="false">
      <c r="A53" s="0" t="s">
        <v>72</v>
      </c>
      <c r="B53" s="0" t="s">
        <v>8</v>
      </c>
      <c r="C53" s="0" t="s">
        <v>73</v>
      </c>
      <c r="D53" s="0" t="s">
        <v>59</v>
      </c>
      <c r="E53" s="0" t="n">
        <v>7.43928</v>
      </c>
      <c r="F53" s="0" t="n">
        <v>3708.63</v>
      </c>
    </row>
    <row r="54" customFormat="false" ht="12.8" hidden="false" customHeight="false" outlineLevel="0" collapsed="false">
      <c r="A54" s="0" t="s">
        <v>72</v>
      </c>
      <c r="B54" s="0" t="s">
        <v>8</v>
      </c>
      <c r="C54" s="0" t="s">
        <v>73</v>
      </c>
      <c r="D54" s="0" t="s">
        <v>66</v>
      </c>
      <c r="E54" s="0" t="n">
        <v>7.51234</v>
      </c>
      <c r="F54" s="0" t="n">
        <v>3096.59</v>
      </c>
    </row>
    <row r="55" customFormat="false" ht="12.8" hidden="false" customHeight="false" outlineLevel="0" collapsed="false">
      <c r="A55" s="0" t="s">
        <v>72</v>
      </c>
      <c r="B55" s="0" t="s">
        <v>8</v>
      </c>
      <c r="C55" s="0" t="s">
        <v>73</v>
      </c>
      <c r="D55" s="0" t="s">
        <v>12</v>
      </c>
      <c r="E55" s="0" t="n">
        <v>4.0453</v>
      </c>
      <c r="F55" s="0" t="n">
        <v>3063.99</v>
      </c>
    </row>
    <row r="56" customFormat="false" ht="12.8" hidden="false" customHeight="false" outlineLevel="0" collapsed="false">
      <c r="A56" s="0" t="s">
        <v>72</v>
      </c>
      <c r="B56" s="0" t="s">
        <v>8</v>
      </c>
      <c r="C56" s="0" t="s">
        <v>73</v>
      </c>
      <c r="D56" s="0" t="s">
        <v>67</v>
      </c>
      <c r="E56" s="0" t="n">
        <v>7.21257</v>
      </c>
      <c r="F56" s="0" t="n">
        <v>2875.51</v>
      </c>
    </row>
    <row r="57" customFormat="false" ht="12.8" hidden="false" customHeight="false" outlineLevel="0" collapsed="false">
      <c r="A57" s="0" t="s">
        <v>72</v>
      </c>
      <c r="B57" s="0" t="s">
        <v>8</v>
      </c>
      <c r="C57" s="0" t="s">
        <v>73</v>
      </c>
      <c r="D57" s="0" t="s">
        <v>68</v>
      </c>
      <c r="E57" s="0" t="n">
        <v>9.86149</v>
      </c>
      <c r="F57" s="0" t="n">
        <v>2807.66</v>
      </c>
    </row>
    <row r="58" customFormat="false" ht="12.8" hidden="false" customHeight="false" outlineLevel="0" collapsed="false">
      <c r="A58" s="0" t="s">
        <v>72</v>
      </c>
      <c r="B58" s="0" t="s">
        <v>8</v>
      </c>
      <c r="C58" s="0" t="s">
        <v>73</v>
      </c>
      <c r="D58" s="0" t="s">
        <v>69</v>
      </c>
      <c r="E58" s="0" t="n">
        <v>8.84374</v>
      </c>
      <c r="F58" s="0" t="n">
        <v>2755.18</v>
      </c>
    </row>
    <row r="59" customFormat="false" ht="12.8" hidden="false" customHeight="false" outlineLevel="0" collapsed="false">
      <c r="A59" s="0" t="s">
        <v>72</v>
      </c>
      <c r="B59" s="0" t="s">
        <v>8</v>
      </c>
      <c r="C59" s="0" t="s">
        <v>73</v>
      </c>
      <c r="D59" s="0" t="s">
        <v>70</v>
      </c>
      <c r="E59" s="0" t="n">
        <v>18.98061</v>
      </c>
      <c r="F59" s="0" t="n">
        <v>2731.5</v>
      </c>
    </row>
    <row r="60" customFormat="false" ht="12.8" hidden="false" customHeight="false" outlineLevel="0" collapsed="false">
      <c r="A60" s="0" t="s">
        <v>72</v>
      </c>
      <c r="B60" s="0" t="s">
        <v>8</v>
      </c>
      <c r="C60" s="0" t="s">
        <v>73</v>
      </c>
      <c r="D60" s="0" t="s">
        <v>71</v>
      </c>
      <c r="E60" s="0" t="n">
        <v>14.75725</v>
      </c>
      <c r="F60" s="0" t="n">
        <v>2669.88</v>
      </c>
    </row>
    <row r="61" customFormat="false" ht="12.8" hidden="false" customHeight="false" outlineLevel="0" collapsed="false">
      <c r="A61" s="0" t="s">
        <v>72</v>
      </c>
      <c r="B61" s="0" t="s">
        <v>8</v>
      </c>
      <c r="C61" s="0" t="s">
        <v>73</v>
      </c>
      <c r="D61" s="0" t="s">
        <v>58</v>
      </c>
      <c r="E61" s="0" t="n">
        <v>9.21506</v>
      </c>
      <c r="F61" s="0" t="n">
        <v>2656.89</v>
      </c>
    </row>
    <row r="62" customFormat="false" ht="12.8" hidden="false" customHeight="false" outlineLevel="0" collapsed="false">
      <c r="A62" s="0" t="s">
        <v>72</v>
      </c>
      <c r="B62" s="0" t="s">
        <v>8</v>
      </c>
      <c r="C62" s="0" t="s">
        <v>73</v>
      </c>
      <c r="D62" s="0" t="s">
        <v>16</v>
      </c>
      <c r="E62" s="0" t="n">
        <v>5.75366</v>
      </c>
      <c r="F62" s="0" t="n">
        <v>1949.57</v>
      </c>
    </row>
    <row r="63" customFormat="false" ht="12.8" hidden="false" customHeight="false" outlineLevel="0" collapsed="false">
      <c r="A63" s="0" t="s">
        <v>74</v>
      </c>
      <c r="B63" s="0" t="s">
        <v>56</v>
      </c>
      <c r="C63" s="0" t="s">
        <v>75</v>
      </c>
      <c r="D63" s="0" t="s">
        <v>26</v>
      </c>
      <c r="E63" s="0" t="n">
        <v>2.77177</v>
      </c>
      <c r="F63" s="0" t="n">
        <v>1353.87</v>
      </c>
      <c r="G63" s="0" t="n">
        <f aca="false">75*0.24</f>
        <v>18</v>
      </c>
    </row>
    <row r="64" customFormat="false" ht="12.8" hidden="false" customHeight="false" outlineLevel="0" collapsed="false">
      <c r="A64" s="0" t="s">
        <v>74</v>
      </c>
      <c r="B64" s="0" t="s">
        <v>56</v>
      </c>
      <c r="C64" s="0" t="s">
        <v>75</v>
      </c>
      <c r="D64" s="0" t="s">
        <v>59</v>
      </c>
      <c r="E64" s="0" t="n">
        <v>2.57072</v>
      </c>
      <c r="F64" s="0" t="n">
        <v>1281.56</v>
      </c>
      <c r="G64" s="0" t="n">
        <f aca="false">75*0.22</f>
        <v>16.5</v>
      </c>
    </row>
    <row r="65" customFormat="false" ht="12.8" hidden="false" customHeight="false" outlineLevel="0" collapsed="false">
      <c r="A65" s="0" t="s">
        <v>74</v>
      </c>
      <c r="B65" s="0" t="s">
        <v>56</v>
      </c>
      <c r="C65" s="0" t="s">
        <v>75</v>
      </c>
      <c r="D65" s="0" t="s">
        <v>16</v>
      </c>
      <c r="E65" s="0" t="n">
        <v>3.73151</v>
      </c>
      <c r="F65" s="0" t="n">
        <v>1264.38</v>
      </c>
      <c r="G65" s="0" t="n">
        <f aca="false">75*0.22</f>
        <v>16.5</v>
      </c>
    </row>
    <row r="66" customFormat="false" ht="12.8" hidden="false" customHeight="false" outlineLevel="0" collapsed="false">
      <c r="A66" s="0" t="s">
        <v>74</v>
      </c>
      <c r="B66" s="0" t="s">
        <v>56</v>
      </c>
      <c r="C66" s="0" t="s">
        <v>75</v>
      </c>
      <c r="D66" s="0" t="s">
        <v>12</v>
      </c>
      <c r="E66" s="0" t="n">
        <v>1.63995</v>
      </c>
      <c r="F66" s="0" t="n">
        <v>1242.13</v>
      </c>
      <c r="G66" s="0" t="n">
        <f aca="false">75*0.22</f>
        <v>16.5</v>
      </c>
    </row>
    <row r="67" customFormat="false" ht="12.8" hidden="false" customHeight="false" outlineLevel="0" collapsed="false">
      <c r="A67" s="0" t="s">
        <v>74</v>
      </c>
      <c r="B67" s="0" t="s">
        <v>56</v>
      </c>
      <c r="C67" s="0" t="s">
        <v>75</v>
      </c>
      <c r="D67" s="0" t="s">
        <v>64</v>
      </c>
      <c r="E67" s="0" t="n">
        <v>3.02577</v>
      </c>
      <c r="F67" s="0" t="n">
        <v>588.97</v>
      </c>
      <c r="G67" s="0" t="n">
        <f aca="false">75*0.1</f>
        <v>7.5</v>
      </c>
    </row>
    <row r="68" customFormat="false" ht="12.8" hidden="false" customHeight="false" outlineLevel="0" collapsed="false">
      <c r="A68" s="0" t="s">
        <v>74</v>
      </c>
      <c r="B68" s="0" t="s">
        <v>56</v>
      </c>
      <c r="C68" s="0" t="s">
        <v>75</v>
      </c>
      <c r="D68" s="0" t="s">
        <v>76</v>
      </c>
      <c r="E68" s="0" t="n">
        <v>0.01377</v>
      </c>
      <c r="F68" s="0" t="n">
        <v>1.11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2026-01-05T16:10:16Z</dcterms:created>
  <dc:creator/>
  <dc:description/>
  <dc:language>en-US</dc:language>
  <cp:lastModifiedBy/>
  <dcterms:modified xsi:type="dcterms:W3CDTF">2026-01-06T08:40:03Z</dcterms:modified>
  <cp:revision>8</cp:revision>
  <dc:subject/>
  <dc:title/>
</cp:coreProperties>
</file>